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ổng quan" sheetId="1" state="visible" r:id="rId1"/>
    <sheet xmlns:r="http://schemas.openxmlformats.org/officeDocument/2006/relationships" name="Công việc" sheetId="2" state="visible" r:id="rId2"/>
  </sheets>
  <definedNames>
    <definedName name="_xlnm._FilterDatabase" localSheetId="1" hidden="1">'Công việc'!$A$1:$I$68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8">
    <font>
      <name val="Calibri"/>
      <family val="2"/>
      <color theme="1"/>
      <sz val="11"/>
      <scheme val="minor"/>
    </font>
    <font>
      <b val="1"/>
      <color rgb="001F4E79"/>
      <sz val="16"/>
    </font>
    <font>
      <i val="1"/>
      <sz val="11"/>
    </font>
    <font>
      <b val="1"/>
      <sz val="11"/>
    </font>
    <font>
      <i val="1"/>
      <sz val="10"/>
    </font>
    <font>
      <b val="1"/>
      <color rgb="00FFFFFF"/>
    </font>
    <font>
      <b val="1"/>
    </font>
    <font>
      <sz val="10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6FB"/>
      </patternFill>
    </fill>
    <fill>
      <patternFill patternType="solid">
        <fgColor rgb="00D9E2F3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top" wrapText="1"/>
    </xf>
    <xf numFmtId="0" fontId="0" fillId="3" borderId="1" applyAlignment="1" pivotButton="0" quotePrefix="0" xfId="0">
      <alignment horizontal="center" vertical="center" wrapText="1"/>
    </xf>
    <xf numFmtId="9" fontId="0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0" borderId="1" applyAlignment="1" pivotButton="0" quotePrefix="0" xfId="0">
      <alignment horizontal="center" vertical="center" wrapText="1"/>
    </xf>
    <xf numFmtId="9" fontId="0" fillId="0" borderId="1" applyAlignment="1" pivotButton="0" quotePrefix="0" xfId="0">
      <alignment horizontal="center" vertical="center" wrapText="1"/>
    </xf>
    <xf numFmtId="0" fontId="6" fillId="0" borderId="1" pivotButton="0" quotePrefix="0" xfId="0"/>
    <xf numFmtId="0" fontId="0" fillId="0" borderId="1" pivotButton="0" quotePrefix="0" xfId="0"/>
    <xf numFmtId="9" fontId="6" fillId="0" borderId="1" pivotButton="0" quotePrefix="0" xfId="0"/>
    <xf numFmtId="0" fontId="3" fillId="4" borderId="1" pivotButton="0" quotePrefix="0" xfId="0"/>
    <xf numFmtId="0" fontId="7" fillId="0" borderId="1" applyAlignment="1" pivotButton="0" quotePrefix="0" xfId="0">
      <alignment vertical="top" wrapText="1"/>
    </xf>
    <xf numFmtId="165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H18"/>
  <sheetViews>
    <sheetView workbookViewId="0">
      <selection activeCell="A1" sqref="A1"/>
    </sheetView>
  </sheetViews>
  <sheetFormatPr baseColWidth="8" defaultRowHeight="15"/>
  <cols>
    <col width="14" customWidth="1" min="2" max="2"/>
    <col width="16" customWidth="1" min="3" max="3"/>
    <col width="46" customWidth="1" min="4" max="4"/>
    <col width="52" customWidth="1" min="5" max="5"/>
    <col width="9" customWidth="1" min="6" max="6"/>
    <col width="11" customWidth="1" min="7" max="7"/>
    <col width="9" customWidth="1" min="8" max="8"/>
    <col width="10" customWidth="1" min="9" max="9"/>
  </cols>
  <sheetData>
    <row r="2">
      <c r="B2" s="1" t="inlineStr">
        <is>
          <t>KẾ HOẠCH CÔNG VIỆC - ĐỒ ÁN 1: LAPLACE AI AGENT</t>
        </is>
      </c>
    </row>
    <row r="3">
      <c r="B3" s="2" t="inlineStr">
        <is>
          <t>Thời gian: 17/08/2026 - 06/12/2026 (dự phòng đến 20/12/2026) | Sprint 2 tuần, báo cáo GV cuối mỗi sprint</t>
        </is>
      </c>
    </row>
    <row r="5">
      <c r="B5" s="3" t="inlineStr">
        <is>
          <t>Sinh viên thực hiện: Tô Thành Nguyên - 24521207</t>
        </is>
      </c>
    </row>
    <row r="6">
      <c r="B6" s="4" t="inlineStr">
        <is>
          <t>Cập nhật cột Trạng thái trong sheet Công việc; các bảng dưới đây tự tính tiến độ.</t>
        </is>
      </c>
    </row>
    <row r="8">
      <c r="B8" s="5" t="inlineStr">
        <is>
          <t>Sprint</t>
        </is>
      </c>
      <c r="C8" s="5" t="inlineStr">
        <is>
          <t>Thời gian</t>
        </is>
      </c>
      <c r="D8" s="5" t="inlineStr">
        <is>
          <t>Mục tiêu sprint (goal)</t>
        </is>
      </c>
      <c r="E8" s="5" t="inlineStr">
        <is>
          <t>Sản phẩm bàn giao</t>
        </is>
      </c>
      <c r="F8" s="5" t="inlineStr">
        <is>
          <t>Số task</t>
        </is>
      </c>
      <c r="G8" s="5" t="inlineStr">
        <is>
          <t>Hoàn thành</t>
        </is>
      </c>
      <c r="H8" s="5" t="inlineStr">
        <is>
          <t>Tiến độ</t>
        </is>
      </c>
    </row>
    <row r="9">
      <c r="B9" s="6" t="inlineStr">
        <is>
          <t>Sprint 1</t>
        </is>
      </c>
      <c r="C9" s="6" t="inlineStr">
        <is>
          <t>17/08 - 30/08</t>
        </is>
      </c>
      <c r="D9" s="6" t="inlineStr">
        <is>
          <t>Kiến trúc chốt xong, vòng lặp Agent tối thiểu chạy được ngoại tuyến</t>
        </is>
      </c>
      <c r="E9" s="6" t="inlineStr">
        <is>
          <t>Tài liệu kiến trúc; vòng lặp chạy nhiệm vụ mẫu, giải thích được lý do dừng</t>
        </is>
      </c>
      <c r="F9" s="7">
        <f>COUNTIF('Công việc'!$B:$B,"S1")</f>
        <v/>
      </c>
      <c r="G9" s="7">
        <f>COUNTIFS('Công việc'!$B:$B,"S1",'Công việc'!$H:$H,"Hoàn thành")</f>
        <v/>
      </c>
      <c r="H9" s="8">
        <f>IF(F9=0,0,G9/F9)</f>
        <v/>
      </c>
    </row>
    <row r="10">
      <c r="B10" s="9" t="inlineStr">
        <is>
          <t>Sprint 2</t>
        </is>
      </c>
      <c r="C10" s="9" t="inlineStr">
        <is>
          <t>31/08 - 13/09</t>
        </is>
      </c>
      <c r="D10" s="9" t="inlineStr">
        <is>
          <t>Bot Telegram nói chuyện bằng mô hình ngôn ngữ thật</t>
        </is>
      </c>
      <c r="E10" s="9" t="inlineStr">
        <is>
          <t>Bot chạy thật; theo dõi chi phí; đổi provider bằng cấu hình</t>
        </is>
      </c>
      <c r="F10" s="10">
        <f>COUNTIF('Công việc'!$B:$B,"S2")</f>
        <v/>
      </c>
      <c r="G10" s="10">
        <f>COUNTIFS('Công việc'!$B:$B,"S2",'Công việc'!$H:$H,"Hoàn thành")</f>
        <v/>
      </c>
      <c r="H10" s="11">
        <f>IF(F10=0,0,G10/F10)</f>
        <v/>
      </c>
    </row>
    <row r="11">
      <c r="B11" s="6" t="inlineStr">
        <is>
          <t>Sprint 3</t>
        </is>
      </c>
      <c r="C11" s="6" t="inlineStr">
        <is>
          <t>14/09 - 27/09</t>
        </is>
      </c>
      <c r="D11" s="6" t="inlineStr">
        <is>
          <t>Agent giữ ngữ cảnh nhiều lượt, bộ nhớ phiên quản lý được</t>
        </is>
      </c>
      <c r="E11" s="6" t="inlineStr">
        <is>
          <t>Context ba tầng; lệnh xem/xóa bộ nhớ; báo cáo thực nghiệm</t>
        </is>
      </c>
      <c r="F11" s="7">
        <f>COUNTIF('Công việc'!$B:$B,"S3")</f>
        <v/>
      </c>
      <c r="G11" s="7">
        <f>COUNTIFS('Công việc'!$B:$B,"S3",'Công việc'!$H:$H,"Hoàn thành")</f>
        <v/>
      </c>
      <c r="H11" s="8">
        <f>IF(F11=0,0,G11/F11)</f>
        <v/>
      </c>
    </row>
    <row r="12">
      <c r="B12" s="9" t="inlineStr">
        <is>
          <t>Sprint 4</t>
        </is>
      </c>
      <c r="C12" s="9" t="inlineStr">
        <is>
          <t>28/09 - 11/10</t>
        </is>
      </c>
      <c r="D12" s="9" t="inlineStr">
        <is>
          <t>Ba nhóm công cụ cốt lõi chạy thật qua Telegram (mốc giữa kỳ)</t>
        </is>
      </c>
      <c r="E12" s="9" t="inlineStr">
        <is>
          <t>Tool web/tài liệu/nhắc lịch; nhắc đúng hẹn, sống sót sau restart</t>
        </is>
      </c>
      <c r="F12" s="10">
        <f>COUNTIF('Công việc'!$B:$B,"S4")</f>
        <v/>
      </c>
      <c r="G12" s="10">
        <f>COUNTIFS('Công việc'!$B:$B,"S4",'Công việc'!$H:$H,"Hoàn thành")</f>
        <v/>
      </c>
      <c r="H12" s="11">
        <f>IF(F12=0,0,G12/F12)</f>
        <v/>
      </c>
    </row>
    <row r="13">
      <c r="B13" s="6" t="inlineStr">
        <is>
          <t>Sprint 5</t>
        </is>
      </c>
      <c r="C13" s="6" t="inlineStr">
        <is>
          <t>12/10 - 25/10</t>
        </is>
      </c>
      <c r="D13" s="6" t="inlineStr">
        <is>
          <t>Mọi hành động nhạy cảm được kiểm soát và chờ duyệt</t>
        </is>
      </c>
      <c r="E13" s="6" t="inlineStr">
        <is>
          <t>Approval Gate; chặn vượt quyền + chèn lệnh; báo cáo an toàn</t>
        </is>
      </c>
      <c r="F13" s="7">
        <f>COUNTIF('Công việc'!$B:$B,"S5")</f>
        <v/>
      </c>
      <c r="G13" s="7">
        <f>COUNTIFS('Công việc'!$B:$B,"S5",'Công việc'!$H:$H,"Hoàn thành")</f>
        <v/>
      </c>
      <c r="H13" s="8">
        <f>IF(F13=0,0,G13/F13)</f>
        <v/>
      </c>
    </row>
    <row r="14">
      <c r="B14" s="9" t="inlineStr">
        <is>
          <t>Sprint 6</t>
        </is>
      </c>
      <c r="C14" s="9" t="inlineStr">
        <is>
          <t>26/10 - 08/11</t>
        </is>
      </c>
      <c r="D14" s="9" t="inlineStr">
        <is>
          <t>Kết quả có bằng chứng kiểm chứng, hệ thống phục hồi được sau lỗi</t>
        </is>
      </c>
      <c r="E14" s="9" t="inlineStr">
        <is>
          <t>Verifier; phân loại lỗi; khôi phục tác vụ sau restart</t>
        </is>
      </c>
      <c r="F14" s="10">
        <f>COUNTIF('Công việc'!$B:$B,"S6")</f>
        <v/>
      </c>
      <c r="G14" s="10">
        <f>COUNTIFS('Công việc'!$B:$B,"S6",'Công việc'!$H:$H,"Hoàn thành")</f>
        <v/>
      </c>
      <c r="H14" s="11">
        <f>IF(F14=0,0,G14/F14)</f>
        <v/>
      </c>
    </row>
    <row r="15">
      <c r="B15" s="6" t="inlineStr">
        <is>
          <t>Sprint 7</t>
        </is>
      </c>
      <c r="C15" s="6" t="inlineStr">
        <is>
          <t>09/11 - 22/11</t>
        </is>
      </c>
      <c r="D15" s="6" t="inlineStr">
        <is>
          <t>Đo được chất lượng hệ thống bằng bộ đánh giá định lượng</t>
        </is>
      </c>
      <c r="E15" s="6" t="inlineStr">
        <is>
          <t>Đánh giá 1 lệnh; trang quan sát + thống kê; số liệu gốc</t>
        </is>
      </c>
      <c r="F15" s="7">
        <f>COUNTIF('Công việc'!$B:$B,"S7")</f>
        <v/>
      </c>
      <c r="G15" s="7">
        <f>COUNTIFS('Công việc'!$B:$B,"S7",'Công việc'!$H:$H,"Hoàn thành")</f>
        <v/>
      </c>
      <c r="H15" s="8">
        <f>IF(F15=0,0,G15/F15)</f>
        <v/>
      </c>
    </row>
    <row r="16">
      <c r="B16" s="9" t="inlineStr">
        <is>
          <t>Sprint 8</t>
        </is>
      </c>
      <c r="C16" s="9" t="inlineStr">
        <is>
          <t>23/11 - 06/12</t>
        </is>
      </c>
      <c r="D16" s="9" t="inlineStr">
        <is>
          <t>Sản phẩm đóng gói hoàn chỉnh, báo cáo sẵn sàng nộp</t>
        </is>
      </c>
      <c r="E16" s="9" t="inlineStr">
        <is>
          <t>Docker; báo cáo so sánh; báo cáo cuối kỳ + slide + demo</t>
        </is>
      </c>
      <c r="F16" s="10">
        <f>COUNTIF('Công việc'!$B:$B,"S8")</f>
        <v/>
      </c>
      <c r="G16" s="10">
        <f>COUNTIFS('Công việc'!$B:$B,"S8",'Công việc'!$H:$H,"Hoàn thành")</f>
        <v/>
      </c>
      <c r="H16" s="11">
        <f>IF(F16=0,0,G16/F16)</f>
        <v/>
      </c>
    </row>
    <row r="17">
      <c r="B17" s="6" t="inlineStr">
        <is>
          <t>Sprint 9 (dự phòng)</t>
        </is>
      </c>
      <c r="C17" s="6" t="inlineStr">
        <is>
          <t>07/12 - 20/12</t>
        </is>
      </c>
      <c r="D17" s="6" t="inlineStr">
        <is>
          <t>Sẵn sàng bảo vệ, xử lý mọi tồn đọng</t>
        </is>
      </c>
      <c r="E17" s="6" t="inlineStr">
        <is>
          <t>Sản phẩm + báo cáo ở trạng thái bảo vệ được</t>
        </is>
      </c>
      <c r="F17" s="7">
        <f>COUNTIF('Công việc'!$B:$B,"S9")</f>
        <v/>
      </c>
      <c r="G17" s="7">
        <f>COUNTIFS('Công việc'!$B:$B,"S9",'Công việc'!$H:$H,"Hoàn thành")</f>
        <v/>
      </c>
      <c r="H17" s="8">
        <f>IF(F17=0,0,G17/F17)</f>
        <v/>
      </c>
    </row>
    <row r="18">
      <c r="B18" s="12" t="inlineStr">
        <is>
          <t>TỔNG</t>
        </is>
      </c>
      <c r="C18" s="13" t="n"/>
      <c r="D18" s="13" t="n"/>
      <c r="E18" s="13" t="n"/>
      <c r="F18" s="12">
        <f>SUM(F9:F17)</f>
        <v/>
      </c>
      <c r="G18" s="12">
        <f>SUM(G9:G17)</f>
        <v/>
      </c>
      <c r="H18" s="14">
        <f>IF(F18=0,0,G18/F18)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8" customWidth="1" min="2" max="2"/>
    <col width="9" customWidth="1" min="3" max="3"/>
    <col width="42" customWidth="1" min="4" max="4"/>
    <col width="36" customWidth="1" min="5" max="5"/>
    <col width="60" customWidth="1" min="6" max="6"/>
    <col width="12" customWidth="1" min="7" max="7"/>
    <col width="11" customWidth="1" min="8" max="8"/>
    <col width="16" customWidth="1" min="9" max="9"/>
  </cols>
  <sheetData>
    <row r="1">
      <c r="A1" s="5" t="inlineStr">
        <is>
          <t>Mã</t>
        </is>
      </c>
      <c r="B1" s="5" t="inlineStr">
        <is>
          <t>Sprint</t>
        </is>
      </c>
      <c r="C1" s="5" t="inlineStr">
        <is>
          <t>Tuần</t>
        </is>
      </c>
      <c r="D1" s="5" t="inlineStr">
        <is>
          <t>Công việc / Task</t>
        </is>
      </c>
      <c r="E1" s="5" t="inlineStr">
        <is>
          <t>Mục tiêu / Kết quả mong đợi</t>
        </is>
      </c>
      <c r="F1" s="5" t="inlineStr">
        <is>
          <t>Chi tiết kỹ thuật (code gì / cài gì)</t>
        </is>
      </c>
      <c r="G1" s="5" t="inlineStr">
        <is>
          <t>Deadline</t>
        </is>
      </c>
      <c r="H1" s="5" t="inlineStr">
        <is>
          <t>Trạng thái</t>
        </is>
      </c>
      <c r="I1" s="5" t="inlineStr">
        <is>
          <t>Ghi chú</t>
        </is>
      </c>
    </row>
    <row r="2">
      <c r="A2" s="15" t="inlineStr">
        <is>
          <t>Sprint 1 (17/08 - 30/08)</t>
        </is>
      </c>
      <c r="B2" s="13" t="n"/>
      <c r="C2" s="13" t="n"/>
      <c r="D2" s="13" t="n"/>
      <c r="E2" s="13" t="n"/>
      <c r="F2" s="13" t="n"/>
      <c r="G2" s="13" t="n"/>
      <c r="H2" s="13" t="n"/>
      <c r="I2" s="13" t="n"/>
    </row>
    <row r="3">
      <c r="A3" s="10" t="inlineStr">
        <is>
          <t>S1-01</t>
        </is>
      </c>
      <c r="B3" s="10" t="inlineStr">
        <is>
          <t>S1</t>
        </is>
      </c>
      <c r="C3" s="10" t="inlineStr">
        <is>
          <t>Tuần 1</t>
        </is>
      </c>
      <c r="D3" s="9" t="inlineStr">
        <is>
          <t>Nghiên cứu nguyên lý AI Agent (vòng lặp, context, công cụ, xác nhận hành động)</t>
        </is>
      </c>
      <c r="E3" s="9" t="inlineStr">
        <is>
          <t>Bản ghi chú chung 5-7 trang làm cơ sở thiết kế</t>
        </is>
      </c>
      <c r="F3" s="16" t="inlineStr">
        <is>
          <t>Đọc sổ tay AI Agent trong docs/; ghi chú vào docs/notes.md; chốt từ vựng thống nhất (loop, context, tool, trace, verifier)</t>
        </is>
      </c>
      <c r="G3" s="17" t="n">
        <v>46257</v>
      </c>
      <c r="H3" s="10" t="inlineStr">
        <is>
          <t>Chưa làm</t>
        </is>
      </c>
      <c r="I3" s="9" t="inlineStr"/>
    </row>
    <row r="4">
      <c r="A4" s="10" t="inlineStr">
        <is>
          <t>S1-02</t>
        </is>
      </c>
      <c r="B4" s="10" t="inlineStr">
        <is>
          <t>S1</t>
        </is>
      </c>
      <c r="C4" s="10" t="inlineStr">
        <is>
          <t>Tuần 1</t>
        </is>
      </c>
      <c r="D4" s="9" t="inlineStr">
        <is>
          <t>Khảo sát 2-3 sản phẩm Agent hiện có</t>
        </is>
      </c>
      <c r="E4" s="9" t="inlineStr">
        <is>
          <t>Bảng so sánh cách tổ chức vòng lặp, công cụ, phê duyệt</t>
        </is>
      </c>
      <c r="F4" s="16" t="inlineStr">
        <is>
          <t>Khảo sát: OpenAI Agents SDK, LangGraph, Claude Code (cách khai báo tool + approval); lập bảng so sánh trong docs/survey.md</t>
        </is>
      </c>
      <c r="G4" s="17" t="n">
        <v>46257</v>
      </c>
      <c r="H4" s="10" t="inlineStr">
        <is>
          <t>Chưa làm</t>
        </is>
      </c>
      <c r="I4" s="9" t="inlineStr"/>
    </row>
    <row r="5">
      <c r="A5" s="10" t="inlineStr">
        <is>
          <t>S1-03</t>
        </is>
      </c>
      <c r="B5" s="10" t="inlineStr">
        <is>
          <t>S1</t>
        </is>
      </c>
      <c r="C5" s="10" t="inlineStr">
        <is>
          <t>Tuần 1</t>
        </is>
      </c>
      <c r="D5" s="9" t="inlineStr">
        <is>
          <t>Chốt bản mô tả phạm vi + danh sách việc hệ thống không làm</t>
        </is>
      </c>
      <c r="E5" s="9" t="inlineStr">
        <is>
          <t>1 trang phạm vi được GV thống nhất</t>
        </is>
      </c>
      <c r="F5" s="16" t="inlineStr">
        <is>
          <t>Viết docs/scope.md theo mẫu: phục vụ ai / việc gì / nguồn nào / công cụ nào / bằng chứng gì + mục Non-goals</t>
        </is>
      </c>
      <c r="G5" s="17" t="n">
        <v>46257</v>
      </c>
      <c r="H5" s="10" t="inlineStr">
        <is>
          <t>Chưa làm</t>
        </is>
      </c>
      <c r="I5" s="9" t="inlineStr"/>
    </row>
    <row r="6">
      <c r="A6" s="10" t="inlineStr">
        <is>
          <t>S1-04</t>
        </is>
      </c>
      <c r="B6" s="10" t="inlineStr">
        <is>
          <t>S1</t>
        </is>
      </c>
      <c r="C6" s="10" t="inlineStr">
        <is>
          <t>Tuần 1</t>
        </is>
      </c>
      <c r="D6" s="9" t="inlineStr">
        <is>
          <t>Thiết kế kiến trúc tổng thể</t>
        </is>
      </c>
      <c r="E6" s="9" t="inlineStr">
        <is>
          <t>Sơ đồ kiến trúc + mô tả các thành phần chính</t>
        </is>
      </c>
      <c r="F6" s="16" t="inlineStr">
        <is>
          <t>Vẽ sơ đồ Mermaid trong docs/architecture.md: Bot ⇄ Backend ⇄ Agent Loop ⇄ (LLM layer | Tool Gateway) ⇄ Storage + Scheduler + Trace Viewer</t>
        </is>
      </c>
      <c r="G6" s="17" t="n">
        <v>46257</v>
      </c>
      <c r="H6" s="10" t="inlineStr">
        <is>
          <t>Chưa làm</t>
        </is>
      </c>
      <c r="I6" s="9" t="inlineStr"/>
    </row>
    <row r="7">
      <c r="A7" s="10" t="inlineStr">
        <is>
          <t>S1-05</t>
        </is>
      </c>
      <c r="B7" s="10" t="inlineStr">
        <is>
          <t>S1</t>
        </is>
      </c>
      <c r="C7" s="10" t="inlineStr">
        <is>
          <t>Tuần 1</t>
        </is>
      </c>
      <c r="D7" s="9" t="inlineStr">
        <is>
          <t>Thiết kế cơ sở dữ liệu ban đầu</t>
        </is>
      </c>
      <c r="E7" s="9" t="inlineStr">
        <is>
          <t>Sơ đồ các bảng dữ liệu chính, đủ cho giai đoạn 1</t>
        </is>
      </c>
      <c r="F7" s="16" t="inlineStr">
        <is>
          <t>Thiết kế bảng: users, conversations, messages, tasks, steps, tool_calls, llm_calls, traces; ERD trong docs/db-design.md</t>
        </is>
      </c>
      <c r="G7" s="17" t="n">
        <v>46257</v>
      </c>
      <c r="H7" s="10" t="inlineStr">
        <is>
          <t>Chưa làm</t>
        </is>
      </c>
      <c r="I7" s="9" t="inlineStr"/>
    </row>
    <row r="8">
      <c r="A8" s="10" t="inlineStr">
        <is>
          <t>S1-06</t>
        </is>
      </c>
      <c r="B8" s="10" t="inlineStr">
        <is>
          <t>S1</t>
        </is>
      </c>
      <c r="C8" s="10" t="inlineStr">
        <is>
          <t>Tuần 1</t>
        </is>
      </c>
      <c r="D8" s="9" t="inlineStr">
        <is>
          <t>Tìm hiểu Telegram Bot API và cách kết nối mô hình ngôn ngữ</t>
        </is>
      </c>
      <c r="E8" s="9" t="inlineStr">
        <is>
          <t>Ghi chú kỹ thuật + demo thử nghiệm nhỏ</t>
        </is>
      </c>
      <c r="F8" s="16" t="inlineStr">
        <is>
          <t>Tạo bot qua @BotFather lấy token; đọc docs aiogram v3; viết echo-bot thử nghiệm; thử gọi 1 request tới Gemini (free tier) bằng openai SDK</t>
        </is>
      </c>
      <c r="G8" s="17" t="n">
        <v>46257</v>
      </c>
      <c r="H8" s="10" t="inlineStr">
        <is>
          <t>Chưa làm</t>
        </is>
      </c>
      <c r="I8" s="9" t="inlineStr"/>
    </row>
    <row r="9">
      <c r="A9" s="10" t="inlineStr">
        <is>
          <t>S1-07</t>
        </is>
      </c>
      <c r="B9" s="10" t="inlineStr">
        <is>
          <t>S1</t>
        </is>
      </c>
      <c r="C9" s="10" t="inlineStr">
        <is>
          <t>Tuần 2</t>
        </is>
      </c>
      <c r="D9" s="9" t="inlineStr">
        <is>
          <t>Khởi tạo dự án: cấu trúc mã nguồn, môi trường, kiểm thử tự động trên GitHub</t>
        </is>
      </c>
      <c r="E9" s="9" t="inlineStr">
        <is>
          <t>Repo chạy được, CI xanh</t>
        </is>
      </c>
      <c r="F9" s="16" t="inlineStr">
        <is>
          <t>Python ≥3.11, venv, pyproject.toml; cài pytest + ruff; cấu hình .env bằng pydantic-settings; GitHub Actions .github/workflows/ci.yml chạy lint + test</t>
        </is>
      </c>
      <c r="G9" s="17" t="n">
        <v>46264</v>
      </c>
      <c r="H9" s="10" t="inlineStr">
        <is>
          <t>Chưa làm</t>
        </is>
      </c>
      <c r="I9" s="9" t="inlineStr"/>
    </row>
    <row r="10">
      <c r="A10" s="10" t="inlineStr">
        <is>
          <t>S1-08</t>
        </is>
      </c>
      <c r="B10" s="10" t="inlineStr">
        <is>
          <t>S1</t>
        </is>
      </c>
      <c r="C10" s="10" t="inlineStr">
        <is>
          <t>Tuần 2</t>
        </is>
      </c>
      <c r="D10" s="9" t="inlineStr">
        <is>
          <t>Cài đặt lớp lưu trữ dữ liệu theo thiết kế</t>
        </is>
      </c>
      <c r="E10" s="9" t="inlineStr">
        <is>
          <t>Ghi/đọc được các bảng chính, có kiểm thử</t>
        </is>
      </c>
      <c r="F10" s="16" t="inlineStr">
        <is>
          <t>Cài SQLAlchemy 2.0 + SQLite; viết laplace/db.py (engine, session) + laplace/models.py (ORM theo ERD); test CRUD cơ bản</t>
        </is>
      </c>
      <c r="G10" s="17" t="n">
        <v>46264</v>
      </c>
      <c r="H10" s="10" t="inlineStr">
        <is>
          <t>Chưa làm</t>
        </is>
      </c>
      <c r="I10" s="9" t="inlineStr"/>
    </row>
    <row r="11">
      <c r="A11" s="10" t="inlineStr">
        <is>
          <t>S1-09</t>
        </is>
      </c>
      <c r="B11" s="10" t="inlineStr">
        <is>
          <t>S1</t>
        </is>
      </c>
      <c r="C11" s="10" t="inlineStr">
        <is>
          <t>Tuần 2</t>
        </is>
      </c>
      <c r="D11" s="9" t="inlineStr">
        <is>
          <t>Vòng lặp Agent tối thiểu (giới hạn bước) + mô hình giả lập + 1 công cụ đọc</t>
        </is>
      </c>
      <c r="E11" s="9" t="inlineStr">
        <is>
          <t>Chạy trọn vòng lặp ngoại tuyến</t>
        </is>
      </c>
      <c r="F11" s="16" t="inlineStr">
        <is>
          <t>Viết laplace/agent/loop.py: state machine tối đa 5 bước (nhìn→nghĩ→làm→quan sát→kiểm tra); laplace/llm/mock.py trả kịch bản cố định; tool đọc file laplace/tools/read_file.py</t>
        </is>
      </c>
      <c r="G11" s="17" t="n">
        <v>46264</v>
      </c>
      <c r="H11" s="10" t="inlineStr">
        <is>
          <t>Chưa làm</t>
        </is>
      </c>
      <c r="I11" s="9" t="inlineStr"/>
    </row>
    <row r="12">
      <c r="A12" s="10" t="inlineStr">
        <is>
          <t>S1-10</t>
        </is>
      </c>
      <c r="B12" s="10" t="inlineStr">
        <is>
          <t>S1</t>
        </is>
      </c>
      <c r="C12" s="10" t="inlineStr">
        <is>
          <t>Tuần 2</t>
        </is>
      </c>
      <c r="D12" s="9" t="inlineStr">
        <is>
          <t>Ghi nhật ký từng bước (mục tiêu, quyết định, công cụ, kết quả, lý do dừng)</t>
        </is>
      </c>
      <c r="E12" s="9" t="inlineStr">
        <is>
          <t>Xem lại được toàn bộ diễn biến một nhiệm vụ</t>
        </is>
      </c>
      <c r="F12" s="16" t="inlineStr">
        <is>
          <t>Viết laplace/services/trace.py ghi bảng traces (JSON mỗi bước: input, action, tool, result, stop_reason); gắn vào agent loop</t>
        </is>
      </c>
      <c r="G12" s="17" t="n">
        <v>46264</v>
      </c>
      <c r="H12" s="10" t="inlineStr">
        <is>
          <t>Chưa làm</t>
        </is>
      </c>
      <c r="I12" s="9" t="inlineStr"/>
    </row>
    <row r="13">
      <c r="A13" s="10" t="inlineStr">
        <is>
          <t>S1-11</t>
        </is>
      </c>
      <c r="B13" s="10" t="inlineStr">
        <is>
          <t>S1</t>
        </is>
      </c>
      <c r="C13" s="10" t="inlineStr">
        <is>
          <t>Tuần 2</t>
        </is>
      </c>
      <c r="D13" s="9" t="inlineStr">
        <is>
          <t>Chạy các nhiệm vụ mẫu + giải thích lý do dừng (bàn giao sprint)</t>
        </is>
      </c>
      <c r="E13" s="9" t="inlineStr">
        <is>
          <t>5 nhiệm vụ mẫu hoàn thành, demo cho GV</t>
        </is>
      </c>
      <c r="F13" s="16" t="inlineStr">
        <is>
          <t>Script scripts/run_samples.py chạy 5 nhiệm vụ bằng mock; viết README.md hướng dẫn cài + chạy</t>
        </is>
      </c>
      <c r="G13" s="17" t="n">
        <v>46264</v>
      </c>
      <c r="H13" s="10" t="inlineStr">
        <is>
          <t>Chưa làm</t>
        </is>
      </c>
      <c r="I13" s="9" t="inlineStr"/>
    </row>
    <row r="14">
      <c r="A14" s="15" t="inlineStr">
        <is>
          <t>Sprint 2 (31/08 - 13/09)</t>
        </is>
      </c>
      <c r="B14" s="13" t="n"/>
      <c r="C14" s="13" t="n"/>
      <c r="D14" s="13" t="n"/>
      <c r="E14" s="13" t="n"/>
      <c r="F14" s="13" t="n"/>
      <c r="G14" s="13" t="n"/>
      <c r="H14" s="13" t="n"/>
      <c r="I14" s="13" t="n"/>
    </row>
    <row r="15">
      <c r="A15" s="10" t="inlineStr">
        <is>
          <t>S2-01</t>
        </is>
      </c>
      <c r="B15" s="10" t="inlineStr">
        <is>
          <t>S2</t>
        </is>
      </c>
      <c r="C15" s="10" t="inlineStr">
        <is>
          <t>Tuần 1</t>
        </is>
      </c>
      <c r="D15" s="9" t="inlineStr">
        <is>
          <t>Tạo bot Telegram; lớp giao tiếp: tin nhắn, lệnh cơ bản, tệp đính kèm</t>
        </is>
      </c>
      <c r="E15" s="9" t="inlineStr">
        <is>
          <t>Bot nhận/gửi được tin nhắn và tệp</t>
        </is>
      </c>
      <c r="F15" s="16" t="inlineStr">
        <is>
          <t>Cài aiogram 3.x (polling); laplace/bot/handlers.py: /start /help /status /cancel, handler nhận document; runner khởi động bot + backend cùng lúc</t>
        </is>
      </c>
      <c r="G15" s="17" t="n">
        <v>46271</v>
      </c>
      <c r="H15" s="10" t="inlineStr">
        <is>
          <t>Chưa làm</t>
        </is>
      </c>
      <c r="I15" s="9" t="inlineStr"/>
    </row>
    <row r="16">
      <c r="A16" s="10" t="inlineStr">
        <is>
          <t>S2-02</t>
        </is>
      </c>
      <c r="B16" s="10" t="inlineStr">
        <is>
          <t>S2</t>
        </is>
      </c>
      <c r="C16" s="10" t="inlineStr">
        <is>
          <t>Tuần 1</t>
        </is>
      </c>
      <c r="D16" s="9" t="inlineStr">
        <is>
          <t>Gắn người dùng với phiên làm việc và tác vụ riêng</t>
        </is>
      </c>
      <c r="E16" s="9" t="inlineStr">
        <is>
          <t>Hai người dùng chat song song không lẫn dữ liệu</t>
        </is>
      </c>
      <c r="F16" s="16" t="inlineStr">
        <is>
          <t>Middleware aiogram map telegram user_id ↔ bảng users/conversations; mỗi tin nhắn gắn conversation_id; test 2 user song song</t>
        </is>
      </c>
      <c r="G16" s="17" t="n">
        <v>46271</v>
      </c>
      <c r="H16" s="10" t="inlineStr">
        <is>
          <t>Chưa làm</t>
        </is>
      </c>
      <c r="I16" s="9" t="inlineStr"/>
    </row>
    <row r="17">
      <c r="A17" s="10" t="inlineStr">
        <is>
          <t>S2-03</t>
        </is>
      </c>
      <c r="B17" s="10" t="inlineStr">
        <is>
          <t>S2</t>
        </is>
      </c>
      <c r="C17" s="10" t="inlineStr">
        <is>
          <t>Tuần 1</t>
        </is>
      </c>
      <c r="D17" s="9" t="inlineStr">
        <is>
          <t>Xử lý phản hồi dài, trạng thái đang xử lý, tiến độ từng bước</t>
        </is>
      </c>
      <c r="E17" s="9" t="inlineStr">
        <is>
          <t>Trải nghiệm chat mượt, không treo im lặng</t>
        </is>
      </c>
      <c r="F17" s="16" t="inlineStr">
        <is>
          <t>Chia tin nhắn &gt;4096 ký tự; gửi 'đang xử lý' + edit_message cập nhật tiến độ từng bước; typing action</t>
        </is>
      </c>
      <c r="G17" s="17" t="n">
        <v>46271</v>
      </c>
      <c r="H17" s="10" t="inlineStr">
        <is>
          <t>Chưa làm</t>
        </is>
      </c>
      <c r="I17" s="9" t="inlineStr"/>
    </row>
    <row r="18">
      <c r="A18" s="10" t="inlineStr">
        <is>
          <t>S2-04</t>
        </is>
      </c>
      <c r="B18" s="10" t="inlineStr">
        <is>
          <t>S2</t>
        </is>
      </c>
      <c r="C18" s="10" t="inlineStr">
        <is>
          <t>Tuần 1</t>
        </is>
      </c>
      <c r="D18" s="9" t="inlineStr">
        <is>
          <t>Giới hạn tần suất yêu cầu theo người dùng</t>
        </is>
      </c>
      <c r="E18" s="9" t="inlineStr">
        <is>
          <t>Spam tin nhắn không làm nghẽn hệ thống</t>
        </is>
      </c>
      <c r="F18" s="16" t="inlineStr">
        <is>
          <t>laplace/bot/ratelimit.py: token bucket theo user_id (VD 5 req/phút); tin bị chặn trả thông báo lịch sự</t>
        </is>
      </c>
      <c r="G18" s="17" t="n">
        <v>46271</v>
      </c>
      <c r="H18" s="10" t="inlineStr">
        <is>
          <t>Chưa làm</t>
        </is>
      </c>
      <c r="I18" s="9" t="inlineStr"/>
    </row>
    <row r="19">
      <c r="A19" s="10" t="inlineStr">
        <is>
          <t>S2-05</t>
        </is>
      </c>
      <c r="B19" s="10" t="inlineStr">
        <is>
          <t>S2</t>
        </is>
      </c>
      <c r="C19" s="10" t="inlineStr">
        <is>
          <t>Tuần 2</t>
        </is>
      </c>
      <c r="D19" s="9" t="inlineStr">
        <is>
          <t>Kết nối mô hình ngôn ngữ thật, đổi nhà cung cấp bằng cấu hình</t>
        </is>
      </c>
      <c r="E19" s="9" t="inlineStr">
        <is>
          <t>Đổi provider không sửa mã nguồn</t>
        </is>
      </c>
      <c r="F19" s="16" t="inlineStr">
        <is>
          <t>Cài openai SDK; laplace/llm/provider.py dùng base_url + api_key từ .env (Gemini OpenAI-compatible endpoint / OpenAI / Groq); chọn provider qua biến LLM_PROVIDER</t>
        </is>
      </c>
      <c r="G19" s="17" t="n">
        <v>46278</v>
      </c>
      <c r="H19" s="10" t="inlineStr">
        <is>
          <t>Chưa làm</t>
        </is>
      </c>
      <c r="I19" s="9" t="inlineStr"/>
    </row>
    <row r="20">
      <c r="A20" s="10" t="inlineStr">
        <is>
          <t>S2-06</t>
        </is>
      </c>
      <c r="B20" s="10" t="inlineStr">
        <is>
          <t>S2</t>
        </is>
      </c>
      <c r="C20" s="10" t="inlineStr">
        <is>
          <t>Tuần 2</t>
        </is>
      </c>
      <c r="D20" s="9" t="inlineStr">
        <is>
          <t>Ghi mức sử dụng, chi phí từng lời gọi; thử lại khi dịch vụ quá tải</t>
        </is>
      </c>
      <c r="E20" s="9" t="inlineStr">
        <is>
          <t>Có số liệu chi phí cho mọi lời gọi</t>
        </is>
      </c>
      <c r="F20" s="16" t="inlineStr">
        <is>
          <t>Ghi bảng llm_calls: tokens in/out, cost ước tính (bảng giá trong config), latency; retry backoff khi HTTP 429/5xx (thư viện tenacity hoặc tự viết)</t>
        </is>
      </c>
      <c r="G20" s="17" t="n">
        <v>46278</v>
      </c>
      <c r="H20" s="10" t="inlineStr">
        <is>
          <t>Chưa làm</t>
        </is>
      </c>
      <c r="I20" s="9" t="inlineStr"/>
    </row>
    <row r="21">
      <c r="A21" s="10" t="inlineStr">
        <is>
          <t>S2-07</t>
        </is>
      </c>
      <c r="B21" s="10" t="inlineStr">
        <is>
          <t>S2</t>
        </is>
      </c>
      <c r="C21" s="10" t="inlineStr">
        <is>
          <t>Tuần 2</t>
        </is>
      </c>
      <c r="D21" s="9" t="inlineStr">
        <is>
          <t>Chỉ dẫn hệ thống đầu tiên + cơ chế gọi công cụ có kiểm tra dữ liệu</t>
        </is>
      </c>
      <c r="E21" s="9" t="inlineStr">
        <is>
          <t>Mô hình chọn và gọi đúng công cụ mẫu</t>
        </is>
      </c>
      <c r="F21" s="16" t="inlineStr">
        <is>
          <t>laplace/agent/prompts.py: system prompt v1; tool calling qua JSON schema, validate tham số bằng Pydantic trước khi chạy; sai schema thì yêu cầu mô hình sửa</t>
        </is>
      </c>
      <c r="G21" s="17" t="n">
        <v>46278</v>
      </c>
      <c r="H21" s="10" t="inlineStr">
        <is>
          <t>Chưa làm</t>
        </is>
      </c>
      <c r="I21" s="9" t="inlineStr"/>
    </row>
    <row r="22">
      <c r="A22" s="10" t="inlineStr">
        <is>
          <t>S2-08</t>
        </is>
      </c>
      <c r="B22" s="10" t="inlineStr">
        <is>
          <t>S2</t>
        </is>
      </c>
      <c r="C22" s="10" t="inlineStr">
        <is>
          <t>Tuần 2</t>
        </is>
      </c>
      <c r="D22" s="9" t="inlineStr">
        <is>
          <t>Kiểm thử toàn tuyến: Telegram → mô hình thật → trả lời (bàn giao sprint)</t>
        </is>
      </c>
      <c r="E22" s="9" t="inlineStr">
        <is>
          <t>Demo hội thoại thật cho GV</t>
        </is>
      </c>
      <c r="F22" s="16" t="inlineStr">
        <is>
          <t>pytest integration chạy bằng mock (CI không cần key); checklist test tay với model thật; ghi lại 3 hội thoại demo</t>
        </is>
      </c>
      <c r="G22" s="17" t="n">
        <v>46278</v>
      </c>
      <c r="H22" s="10" t="inlineStr">
        <is>
          <t>Chưa làm</t>
        </is>
      </c>
      <c r="I22" s="9" t="inlineStr"/>
    </row>
    <row r="23">
      <c r="A23" s="15" t="inlineStr">
        <is>
          <t>Sprint 3 (14/09 - 27/09)</t>
        </is>
      </c>
      <c r="B23" s="13" t="n"/>
      <c r="C23" s="13" t="n"/>
      <c r="D23" s="13" t="n"/>
      <c r="E23" s="13" t="n"/>
      <c r="F23" s="13" t="n"/>
      <c r="G23" s="13" t="n"/>
      <c r="H23" s="13" t="n"/>
      <c r="I23" s="13" t="n"/>
    </row>
    <row r="24">
      <c r="A24" s="10" t="inlineStr">
        <is>
          <t>S3-01</t>
        </is>
      </c>
      <c r="B24" s="10" t="inlineStr">
        <is>
          <t>S3</t>
        </is>
      </c>
      <c r="C24" s="10" t="inlineStr">
        <is>
          <t>Tuần 1</t>
        </is>
      </c>
      <c r="D24" s="9" t="inlineStr">
        <is>
          <t>Bộ dựng context ba tầng (quy tắc ổn định - nhiệm vụ - diễn biến)</t>
        </is>
      </c>
      <c r="E24" s="9" t="inlineStr">
        <is>
          <t>Context mỗi lượt gọn, đúng và đủ</t>
        </is>
      </c>
      <c r="F24" s="16" t="inlineStr">
        <is>
          <t>laplace/agent/context.py: ghép 3 tầng (system rules | task card + dữ liệu | tool results mới nhất); đo số token mỗi tầng để theo dõi</t>
        </is>
      </c>
      <c r="G24" s="17" t="n">
        <v>46285</v>
      </c>
      <c r="H24" s="10" t="inlineStr">
        <is>
          <t>Chưa làm</t>
        </is>
      </c>
      <c r="I24" s="9" t="inlineStr"/>
    </row>
    <row r="25">
      <c r="A25" s="10" t="inlineStr">
        <is>
          <t>S3-02</t>
        </is>
      </c>
      <c r="B25" s="10" t="inlineStr">
        <is>
          <t>S3</t>
        </is>
      </c>
      <c r="C25" s="10" t="inlineStr">
        <is>
          <t>Tuần 1</t>
        </is>
      </c>
      <c r="D25" s="9" t="inlineStr">
        <is>
          <t>Thẻ trạng thái nhiệm vụ cập nhật sau mỗi bước</t>
        </is>
      </c>
      <c r="E25" s="9" t="inlineStr">
        <is>
          <t>Nhìn thẻ là biết nhiệm vụ đang ở đâu</t>
        </is>
      </c>
      <c r="F25" s="16" t="inlineStr">
        <is>
          <t>Dataclass TaskCard: goal, done_criteria, known/unknown, current_step, tools_used, budget_remaining; serialize vào context + lưu DB</t>
        </is>
      </c>
      <c r="G25" s="17" t="n">
        <v>46285</v>
      </c>
      <c r="H25" s="10" t="inlineStr">
        <is>
          <t>Chưa làm</t>
        </is>
      </c>
      <c r="I25" s="9" t="inlineStr"/>
    </row>
    <row r="26">
      <c r="A26" s="10" t="inlineStr">
        <is>
          <t>S3-03</t>
        </is>
      </c>
      <c r="B26" s="10" t="inlineStr">
        <is>
          <t>S3</t>
        </is>
      </c>
      <c r="C26" s="10" t="inlineStr">
        <is>
          <t>Tuần 1</t>
        </is>
      </c>
      <c r="D26" s="9" t="inlineStr">
        <is>
          <t>Kiểm soát dung lượng kết quả công cụ (lưu đầy đủ ngoài, nạp tóm tắt)</t>
        </is>
      </c>
      <c r="E26" s="9" t="inlineStr">
        <is>
          <t>Kết quả dài không làm phình context</t>
        </is>
      </c>
      <c r="F26" s="16" t="inlineStr">
        <is>
          <t>Output tool &gt; ngưỡng (VD 2000 ký tự) → lưu full vào bảng tool_calls, đưa vào context bản tóm tắt + id tham chiếu để đọc lại</t>
        </is>
      </c>
      <c r="G26" s="17" t="n">
        <v>46285</v>
      </c>
      <c r="H26" s="10" t="inlineStr">
        <is>
          <t>Chưa làm</t>
        </is>
      </c>
      <c r="I26" s="9" t="inlineStr"/>
    </row>
    <row r="27">
      <c r="A27" s="10" t="inlineStr">
        <is>
          <t>S3-04</t>
        </is>
      </c>
      <c r="B27" s="10" t="inlineStr">
        <is>
          <t>S3</t>
        </is>
      </c>
      <c r="C27" s="10" t="inlineStr">
        <is>
          <t>Tuần 2</t>
        </is>
      </c>
      <c r="D27" s="9" t="inlineStr">
        <is>
          <t>Rút gọn context khi hội thoại kéo dài (giữ quyết định, lý do, nguồn)</t>
        </is>
      </c>
      <c r="E27" s="9" t="inlineStr">
        <is>
          <t>Hội thoại dài vẫn giữ mạch chính xác</t>
        </is>
      </c>
      <c r="F27" s="16" t="inlineStr">
        <is>
          <t>Khi vượt ngưỡng token: gọi LLM tóm tắt lịch sử cũ theo khuôn (quyết định/lý do/kết quả/nguồn), thay thế đoạn cũ; test hội thoại 20+ lượt</t>
        </is>
      </c>
      <c r="G27" s="17" t="n">
        <v>46292</v>
      </c>
      <c r="H27" s="10" t="inlineStr">
        <is>
          <t>Chưa làm</t>
        </is>
      </c>
      <c r="I27" s="9" t="inlineStr"/>
    </row>
    <row r="28">
      <c r="A28" s="10" t="inlineStr">
        <is>
          <t>S3-05</t>
        </is>
      </c>
      <c r="B28" s="10" t="inlineStr">
        <is>
          <t>S3</t>
        </is>
      </c>
      <c r="C28" s="10" t="inlineStr">
        <is>
          <t>Tuần 2</t>
        </is>
      </c>
      <c r="D28" s="9" t="inlineStr">
        <is>
          <t>Bộ nhớ phiên theo người dùng + lệnh xem/xóa</t>
        </is>
      </c>
      <c r="E28" s="9" t="inlineStr">
        <is>
          <t>Người dùng kiểm soát được dữ liệu phiên</t>
        </is>
      </c>
      <c r="F28" s="16" t="inlineStr">
        <is>
          <t>Bảng session_memory (user_id, key, value, updated_at); lệnh bot /memory (xem) /clear (xóa); nạp vào context khi liên quan</t>
        </is>
      </c>
      <c r="G28" s="17" t="n">
        <v>46292</v>
      </c>
      <c r="H28" s="10" t="inlineStr">
        <is>
          <t>Chưa làm</t>
        </is>
      </c>
      <c r="I28" s="9" t="inlineStr"/>
    </row>
    <row r="29">
      <c r="A29" s="10" t="inlineStr">
        <is>
          <t>S3-06</t>
        </is>
      </c>
      <c r="B29" s="10" t="inlineStr">
        <is>
          <t>S3</t>
        </is>
      </c>
      <c r="C29" s="10" t="inlineStr">
        <is>
          <t>Tuần 2</t>
        </is>
      </c>
      <c r="D29" s="9" t="inlineStr">
        <is>
          <t>Thực nghiệm so sánh các cách cấp context (bàn giao sprint)</t>
        </is>
      </c>
      <c r="E29" s="9" t="inlineStr">
        <is>
          <t>Báo cáo số liệu chọn phương án hiệu quả</t>
        </is>
      </c>
      <c r="F29" s="16" t="inlineStr">
        <is>
          <t>Script chạy 10 nhiệm vụ × 3 cách cấp context (chỉ yêu cầu / kèm dữ liệu thô / kèm tóm tắt cấu trúc); xuất CSV so sánh độ đúng, số lần gọi tool, chi phí</t>
        </is>
      </c>
      <c r="G29" s="17" t="n">
        <v>46292</v>
      </c>
      <c r="H29" s="10" t="inlineStr">
        <is>
          <t>Chưa làm</t>
        </is>
      </c>
      <c r="I29" s="9" t="inlineStr"/>
    </row>
    <row r="30">
      <c r="A30" s="15" t="inlineStr">
        <is>
          <t>Sprint 4 (28/09 - 11/10)</t>
        </is>
      </c>
      <c r="B30" s="13" t="n"/>
      <c r="C30" s="13" t="n"/>
      <c r="D30" s="13" t="n"/>
      <c r="E30" s="13" t="n"/>
      <c r="F30" s="13" t="n"/>
      <c r="G30" s="13" t="n"/>
      <c r="H30" s="13" t="n"/>
      <c r="I30" s="13" t="n"/>
    </row>
    <row r="31">
      <c r="A31" s="10" t="inlineStr">
        <is>
          <t>S4-01</t>
        </is>
      </c>
      <c r="B31" s="10" t="inlineStr">
        <is>
          <t>S4</t>
        </is>
      </c>
      <c r="C31" s="10" t="inlineStr">
        <is>
          <t>Tuần 1</t>
        </is>
      </c>
      <c r="D31" s="9" t="inlineStr">
        <is>
          <t>Cơ chế đăng ký công cụ (tên, công dụng, tham số, kết quả, lúc nào dùng)</t>
        </is>
      </c>
      <c r="E31" s="9" t="inlineStr">
        <is>
          <t>Thêm công cụ mới không sửa lõi Agent</t>
        </is>
      </c>
      <c r="F31" s="16" t="inlineStr">
        <is>
          <t>laplace/tools/base.py: BaseTool (name, description khi-nào-dùng/không-dùng, args_schema Pydantic, run(), risk_level); registry tự thu thập tool qua decorator</t>
        </is>
      </c>
      <c r="G31" s="17" t="n">
        <v>46299</v>
      </c>
      <c r="H31" s="10" t="inlineStr">
        <is>
          <t>Chưa làm</t>
        </is>
      </c>
      <c r="I31" s="9" t="inlineStr"/>
    </row>
    <row r="32">
      <c r="A32" s="10" t="inlineStr">
        <is>
          <t>S4-02</t>
        </is>
      </c>
      <c r="B32" s="10" t="inlineStr">
        <is>
          <t>S4</t>
        </is>
      </c>
      <c r="C32" s="10" t="inlineStr">
        <is>
          <t>Tuần 1</t>
        </is>
      </c>
      <c r="D32" s="9" t="inlineStr">
        <is>
          <t>Công cụ tra cứu web: tìm kiếm, thu thập, tóm tắt kèm trích dẫn</t>
        </is>
      </c>
      <c r="E32" s="9" t="inlineStr">
        <is>
          <t>Trả lời câu hỏi thực tế có dẫn nguồn</t>
        </is>
      </c>
      <c r="F32" s="16" t="inlineStr">
        <is>
          <t>Đăng ký Tavily API key (free tier); laplace/tools/web_search.py + fetch_page.py: httpx tải trang, BeautifulSoup trích nội dung chính; cache kết quả tìm kiếm vào DB; thiếu key → trả kết quả stub</t>
        </is>
      </c>
      <c r="G32" s="17" t="n">
        <v>46299</v>
      </c>
      <c r="H32" s="10" t="inlineStr">
        <is>
          <t>Chưa làm</t>
        </is>
      </c>
      <c r="I32" s="9" t="inlineStr"/>
    </row>
    <row r="33">
      <c r="A33" s="10" t="inlineStr">
        <is>
          <t>S4-03</t>
        </is>
      </c>
      <c r="B33" s="10" t="inlineStr">
        <is>
          <t>S4</t>
        </is>
      </c>
      <c r="C33" s="10" t="inlineStr">
        <is>
          <t>Tuần 1</t>
        </is>
      </c>
      <c r="D33" s="9" t="inlineStr">
        <is>
          <t>Kiểm thử từng công cụ: thành công / đầu vào sai / dịch vụ lỗi</t>
        </is>
      </c>
      <c r="E33" s="9" t="inlineStr">
        <is>
          <t>Mỗi công cụ tối thiểu 3 bài kiểm thử</t>
        </is>
      </c>
      <c r="F33" s="16" t="inlineStr">
        <is>
          <t>pytest: mock httpx (respx hoặc monkeypatch); case: 200 OK / tham số sai schema / timeout + 500</t>
        </is>
      </c>
      <c r="G33" s="17" t="n">
        <v>46299</v>
      </c>
      <c r="H33" s="10" t="inlineStr">
        <is>
          <t>Chưa làm</t>
        </is>
      </c>
      <c r="I33" s="9" t="inlineStr"/>
    </row>
    <row r="34">
      <c r="A34" s="10" t="inlineStr">
        <is>
          <t>S4-04</t>
        </is>
      </c>
      <c r="B34" s="10" t="inlineStr">
        <is>
          <t>S4</t>
        </is>
      </c>
      <c r="C34" s="10" t="inlineStr">
        <is>
          <t>Tuần 2</t>
        </is>
      </c>
      <c r="D34" s="9" t="inlineStr">
        <is>
          <t>Công cụ xử lý tài liệu: nhận tệp, trích xuất, tóm tắt</t>
        </is>
      </c>
      <c r="E34" s="9" t="inlineStr">
        <is>
          <t>Gửi tệp qua Telegram nhận lại tóm tắt đúng</t>
        </is>
      </c>
      <c r="F34" s="16" t="inlineStr">
        <is>
          <t>Cài pypdf (PDF) + python-docx (DOCX); tải file qua bot.get_file; laplace/tools/read_document.py; giới hạn ≤10MB, chỉ pdf/docx/txt; tóm tắt bằng LLM giữ trích dẫn trang</t>
        </is>
      </c>
      <c r="G34" s="17" t="n">
        <v>46306</v>
      </c>
      <c r="H34" s="10" t="inlineStr">
        <is>
          <t>Chưa làm</t>
        </is>
      </c>
      <c r="I34" s="9" t="inlineStr"/>
    </row>
    <row r="35">
      <c r="A35" s="10" t="inlineStr">
        <is>
          <t>S4-05</t>
        </is>
      </c>
      <c r="B35" s="10" t="inlineStr">
        <is>
          <t>S4</t>
        </is>
      </c>
      <c r="C35" s="10" t="inlineStr">
        <is>
          <t>Tuần 2</t>
        </is>
      </c>
      <c r="D35" s="9" t="inlineStr">
        <is>
          <t>Công cụ công việc/nhắc lịch + khôi phục lịch sau khi khởi động lại</t>
        </is>
      </c>
      <c r="E35" s="9" t="inlineStr">
        <is>
          <t>Nhắc đúng hẹn, không mất lịch khi restart</t>
        </is>
      </c>
      <c r="F35" s="16" t="inlineStr">
        <is>
          <t>Cài APScheduler + SQLAlchemyJobStore (persist job vào SQLite); laplace/tools/reminder.py: create/update/cancel; job đến hạn → gửi tin qua bot; test restart giữ job</t>
        </is>
      </c>
      <c r="G35" s="17" t="n">
        <v>46306</v>
      </c>
      <c r="H35" s="10" t="inlineStr">
        <is>
          <t>Chưa làm</t>
        </is>
      </c>
      <c r="I35" s="9" t="inlineStr"/>
    </row>
    <row r="36">
      <c r="A36" s="10" t="inlineStr">
        <is>
          <t>S4-06</t>
        </is>
      </c>
      <c r="B36" s="10" t="inlineStr">
        <is>
          <t>S4</t>
        </is>
      </c>
      <c r="C36" s="10" t="inlineStr">
        <is>
          <t>Tuần 2</t>
        </is>
      </c>
      <c r="D36" s="9" t="inlineStr">
        <is>
          <t>Kiểm thử toàn tuyến kịch bản nhiều bước (bàn giao giữa kỳ)</t>
        </is>
      </c>
      <c r="E36" s="9" t="inlineStr">
        <is>
          <t>Demo giữa kỳ: 3 nhóm công cụ chạy thật</t>
        </is>
      </c>
      <c r="F36" s="16" t="inlineStr">
        <is>
          <t>Kịch bản: 'tìm X rồi tóm tắt rồi đặt nhắc'; chạy end-to-end qua Telegram; quay video demo giữa kỳ</t>
        </is>
      </c>
      <c r="G36" s="17" t="n">
        <v>46306</v>
      </c>
      <c r="H36" s="10" t="inlineStr">
        <is>
          <t>Chưa làm</t>
        </is>
      </c>
      <c r="I36" s="9" t="inlineStr"/>
    </row>
    <row r="37">
      <c r="A37" s="15" t="inlineStr">
        <is>
          <t>Sprint 5 (12/10 - 25/10)</t>
        </is>
      </c>
      <c r="B37" s="13" t="n"/>
      <c r="C37" s="13" t="n"/>
      <c r="D37" s="13" t="n"/>
      <c r="E37" s="13" t="n"/>
      <c r="F37" s="13" t="n"/>
      <c r="G37" s="13" t="n"/>
      <c r="H37" s="13" t="n"/>
      <c r="I37" s="13" t="n"/>
    </row>
    <row r="38">
      <c r="A38" s="10" t="inlineStr">
        <is>
          <t>S5-01</t>
        </is>
      </c>
      <c r="B38" s="10" t="inlineStr">
        <is>
          <t>S5</t>
        </is>
      </c>
      <c r="C38" s="10" t="inlineStr">
        <is>
          <t>Tuần 1</t>
        </is>
      </c>
      <c r="D38" s="9" t="inlineStr">
        <is>
          <t>Phân loại mọi hành động theo mức độ rủi ro</t>
        </is>
      </c>
      <c r="E38" s="9" t="inlineStr">
        <is>
          <t>Bảng phân loại rõ ràng, đầy đủ</t>
        </is>
      </c>
      <c r="F38" s="16" t="inlineStr">
        <is>
          <t>Enum RiskLevel: READ / DRAFT / WRITE_REVERSIBLE / EXTERNAL_SEND / DESTRUCTIVE gắn vào từng tool; bảng phân loại trong docs/risk-matrix.md</t>
        </is>
      </c>
      <c r="G38" s="17" t="n">
        <v>46313</v>
      </c>
      <c r="H38" s="10" t="inlineStr">
        <is>
          <t>Chưa làm</t>
        </is>
      </c>
      <c r="I38" s="9" t="inlineStr"/>
    </row>
    <row r="39">
      <c r="A39" s="10" t="inlineStr">
        <is>
          <t>S5-02</t>
        </is>
      </c>
      <c r="B39" s="10" t="inlineStr">
        <is>
          <t>S5</t>
        </is>
      </c>
      <c r="C39" s="10" t="inlineStr">
        <is>
          <t>Tuần 1</t>
        </is>
      </c>
      <c r="D39" s="9" t="inlineStr">
        <is>
          <t>Cổng kiểm soát công cụ: kiểm tra quyền + tham số trước khi chạy</t>
        </is>
      </c>
      <c r="E39" s="9" t="inlineStr">
        <is>
          <t>Hành động vượt quyền bị chặn từ lớp thực thi</t>
        </is>
      </c>
      <c r="F39" s="16" t="inlineStr">
        <is>
          <t>laplace/agent/gateway.py: mọi tool call đi qua gateway → validate schema, check risk_level vs chính sách; DESTRUCTIVE mặc định từ chối</t>
        </is>
      </c>
      <c r="G39" s="17" t="n">
        <v>46313</v>
      </c>
      <c r="H39" s="10" t="inlineStr">
        <is>
          <t>Chưa làm</t>
        </is>
      </c>
      <c r="I39" s="9" t="inlineStr"/>
    </row>
    <row r="40">
      <c r="A40" s="10" t="inlineStr">
        <is>
          <t>S5-03</t>
        </is>
      </c>
      <c r="B40" s="10" t="inlineStr">
        <is>
          <t>S5</t>
        </is>
      </c>
      <c r="C40" s="10" t="inlineStr">
        <is>
          <t>Tuần 1</t>
        </is>
      </c>
      <c r="D40" s="9" t="inlineStr">
        <is>
          <t>Approval Gate: nút Xác nhận/Hủy qua Telegram, xử lý hết hạn chờ</t>
        </is>
      </c>
      <c r="E40" s="9" t="inlineStr">
        <is>
          <t>Hành động nhạy cảm luôn dừng chờ duyệt</t>
        </is>
      </c>
      <c r="F40" s="16" t="inlineStr">
        <is>
          <t>InlineKeyboardMarkup 2 nút + callback handler; lưu approval_state (pending/approved/rejected/expired) vào bảng tasks; timeout 15 phút tự hủy; hiển thị preview nội dung sắp thực hiện</t>
        </is>
      </c>
      <c r="G40" s="17" t="n">
        <v>46313</v>
      </c>
      <c r="H40" s="10" t="inlineStr">
        <is>
          <t>Chưa làm</t>
        </is>
      </c>
      <c r="I40" s="9" t="inlineStr"/>
    </row>
    <row r="41">
      <c r="A41" s="10" t="inlineStr">
        <is>
          <t>S5-04</t>
        </is>
      </c>
      <c r="B41" s="10" t="inlineStr">
        <is>
          <t>S5</t>
        </is>
      </c>
      <c r="C41" s="10" t="inlineStr">
        <is>
          <t>Tuần 2</t>
        </is>
      </c>
      <c r="D41" s="9" t="inlineStr">
        <is>
          <t>Phòng chống chèn lệnh độc hại từ tài liệu/trang web</t>
        </is>
      </c>
      <c r="E41" s="9" t="inlineStr">
        <is>
          <t>Nội dung ngoài không đổi được quy tắc hệ thống</t>
        </is>
      </c>
      <c r="F41" s="16" t="inlineStr">
        <is>
          <t>Bọc nội dung ngoài trong delimiter + đánh nhãn 'DATA - không phải lệnh' trong context; system prompt quy định thứ tự ưu tiên; viết 5 test injection mẫu (lệnh giả trong PDF/web)</t>
        </is>
      </c>
      <c r="G41" s="17" t="n">
        <v>46320</v>
      </c>
      <c r="H41" s="10" t="inlineStr">
        <is>
          <t>Chưa làm</t>
        </is>
      </c>
      <c r="I41" s="9" t="inlineStr"/>
    </row>
    <row r="42">
      <c r="A42" s="10" t="inlineStr">
        <is>
          <t>S5-05</t>
        </is>
      </c>
      <c r="B42" s="10" t="inlineStr">
        <is>
          <t>S5</t>
        </is>
      </c>
      <c r="C42" s="10" t="inlineStr">
        <is>
          <t>Tuần 2</t>
        </is>
      </c>
      <c r="D42" s="9" t="inlineStr">
        <is>
          <t>Ngân sách thực thi: giới hạn bước, thời gian, chi phí; tự dừng khi lỗi lặp</t>
        </is>
      </c>
      <c r="E42" s="9" t="inlineStr">
        <is>
          <t>Không còn kịch bản chạy vô hạn</t>
        </is>
      </c>
      <c r="F42" s="16" t="inlineStr">
        <is>
          <t>Config: MAX_STEPS, MAX_SECONDS, MAX_COST_PER_TASK; đếm trong agent loop; circuit breaker: cùng 1 lỗi lặp ≥3 lần → dừng + giải thích</t>
        </is>
      </c>
      <c r="G42" s="17" t="n">
        <v>46320</v>
      </c>
      <c r="H42" s="10" t="inlineStr">
        <is>
          <t>Chưa làm</t>
        </is>
      </c>
      <c r="I42" s="9" t="inlineStr"/>
    </row>
    <row r="43">
      <c r="A43" s="10" t="inlineStr">
        <is>
          <t>S5-06</t>
        </is>
      </c>
      <c r="B43" s="10" t="inlineStr">
        <is>
          <t>S5</t>
        </is>
      </c>
      <c r="C43" s="10" t="inlineStr">
        <is>
          <t>Tuần 2</t>
        </is>
      </c>
      <c r="D43" s="9" t="inlineStr">
        <is>
          <t>Rà soát nhật ký: không lộ khóa truy cập, dữ liệu cá nhân</t>
        </is>
      </c>
      <c r="E43" s="9" t="inlineStr">
        <is>
          <t>Nhật ký an toàn để nộp kèm báo cáo</t>
        </is>
      </c>
      <c r="F43" s="16" t="inlineStr">
        <is>
          <t>logging.Filter che pattern key (sk-, AIza...); review bảng traces + llm_calls; che số điện thoại/email trong log</t>
        </is>
      </c>
      <c r="G43" s="17" t="n">
        <v>46320</v>
      </c>
      <c r="H43" s="10" t="inlineStr">
        <is>
          <t>Chưa làm</t>
        </is>
      </c>
      <c r="I43" s="9" t="inlineStr"/>
    </row>
    <row r="44">
      <c r="A44" s="10" t="inlineStr">
        <is>
          <t>S5-07</t>
        </is>
      </c>
      <c r="B44" s="10" t="inlineStr">
        <is>
          <t>S5</t>
        </is>
      </c>
      <c r="C44" s="10" t="inlineStr">
        <is>
          <t>Tuần 2</t>
        </is>
      </c>
      <c r="D44" s="9" t="inlineStr">
        <is>
          <t>Bộ tình huống vượt quyền + báo cáo kiểm thử an toàn (bàn giao sprint)</t>
        </is>
      </c>
      <c r="E44" s="9" t="inlineStr">
        <is>
          <t>Agent từ chối/hỏi lại đúng trong mọi tình huống thử</t>
        </is>
      </c>
      <c r="F44" s="16" t="inlineStr">
        <is>
          <t>pytest bộ case vượt quyền (yêu cầu xóa dữ liệu, gửi ra ngoài không duyệt, injection); tổng hợp docs/security-test-report.md</t>
        </is>
      </c>
      <c r="G44" s="17" t="n">
        <v>46320</v>
      </c>
      <c r="H44" s="10" t="inlineStr">
        <is>
          <t>Chưa làm</t>
        </is>
      </c>
      <c r="I44" s="9" t="inlineStr"/>
    </row>
    <row r="45">
      <c r="A45" s="15" t="inlineStr">
        <is>
          <t>Sprint 6 (26/10 - 08/11)</t>
        </is>
      </c>
      <c r="B45" s="13" t="n"/>
      <c r="C45" s="13" t="n"/>
      <c r="D45" s="13" t="n"/>
      <c r="E45" s="13" t="n"/>
      <c r="F45" s="13" t="n"/>
      <c r="G45" s="13" t="n"/>
      <c r="H45" s="13" t="n"/>
      <c r="I45" s="13" t="n"/>
    </row>
    <row r="46">
      <c r="A46" s="10" t="inlineStr">
        <is>
          <t>S6-01</t>
        </is>
      </c>
      <c r="B46" s="10" t="inlineStr">
        <is>
          <t>S6</t>
        </is>
      </c>
      <c r="C46" s="10" t="inlineStr">
        <is>
          <t>Tuần 1</t>
        </is>
      </c>
      <c r="D46" s="9" t="inlineStr">
        <is>
          <t>Lớp kiểm chứng kết quả bằng bằng chứng thực tế</t>
        </is>
      </c>
      <c r="E46" s="9" t="inlineStr">
        <is>
          <t>Không báo hoàn thành khi thiếu bằng chứng</t>
        </is>
      </c>
      <c r="F46" s="16" t="inlineStr">
        <is>
          <t>laplace/agent/verifier.py: check theo loại task (file tồn tại? API trả 2xx? sự kiện có trên lịch? nguồn chứa dữ kiện?); trạng thái verified lưu vào tasks</t>
        </is>
      </c>
      <c r="G46" s="17" t="n">
        <v>46327</v>
      </c>
      <c r="H46" s="10" t="inlineStr">
        <is>
          <t>Chưa làm</t>
        </is>
      </c>
      <c r="I46" s="9" t="inlineStr"/>
    </row>
    <row r="47">
      <c r="A47" s="10" t="inlineStr">
        <is>
          <t>S6-02</t>
        </is>
      </c>
      <c r="B47" s="10" t="inlineStr">
        <is>
          <t>S6</t>
        </is>
      </c>
      <c r="C47" s="10" t="inlineStr">
        <is>
          <t>Tuần 1</t>
        </is>
      </c>
      <c r="D47" s="9" t="inlineStr">
        <is>
          <t>Chuẩn hóa câu trả lời cuối (kết quả - căn cứ - nguồn - giới hạn)</t>
        </is>
      </c>
      <c r="E47" s="9" t="inlineStr">
        <is>
          <t>Mọi trả lời cuối theo đúng khuôn</t>
        </is>
      </c>
      <c r="F47" s="16" t="inlineStr">
        <is>
          <t>Template trả lời cuối trong prompts.py + hàm format ở bot handlers; field: Kết quả / Đã kiểm tra / Nguồn / Giới hạn / Chờ duyệt</t>
        </is>
      </c>
      <c r="G47" s="17" t="n">
        <v>46327</v>
      </c>
      <c r="H47" s="10" t="inlineStr">
        <is>
          <t>Chưa làm</t>
        </is>
      </c>
      <c r="I47" s="9" t="inlineStr"/>
    </row>
    <row r="48">
      <c r="A48" s="10" t="inlineStr">
        <is>
          <t>S6-03</t>
        </is>
      </c>
      <c r="B48" s="10" t="inlineStr">
        <is>
          <t>S6</t>
        </is>
      </c>
      <c r="C48" s="10" t="inlineStr">
        <is>
          <t>Tuần 2</t>
        </is>
      </c>
      <c r="D48" s="9" t="inlineStr">
        <is>
          <t>Phân loại lỗi + chiến lược xử lý (thử lại / điều chỉnh / dừng giải thích)</t>
        </is>
      </c>
      <c r="E48" s="9" t="inlineStr">
        <is>
          <t>Lỗi nào cũng có đường xử lý rõ</t>
        </is>
      </c>
      <c r="F48" s="16" t="inlineStr">
        <is>
          <t>Taxonomy: TransientError (retry backoff) / ParamError (LLM tự sửa tham số 1 lần) / PermissionError (hỏi user) / ServiceError (dừng + giải thích); map trong gateway</t>
        </is>
      </c>
      <c r="G48" s="17" t="n">
        <v>46334</v>
      </c>
      <c r="H48" s="10" t="inlineStr">
        <is>
          <t>Chưa làm</t>
        </is>
      </c>
      <c r="I48" s="9" t="inlineStr"/>
    </row>
    <row r="49">
      <c r="A49" s="10" t="inlineStr">
        <is>
          <t>S6-04</t>
        </is>
      </c>
      <c r="B49" s="10" t="inlineStr">
        <is>
          <t>S6</t>
        </is>
      </c>
      <c r="C49" s="10" t="inlineStr">
        <is>
          <t>Tuần 2</t>
        </is>
      </c>
      <c r="D49" s="9" t="inlineStr">
        <is>
          <t>Khôi phục tác vụ đang dở sau khi hệ thống khởi động lại</t>
        </is>
      </c>
      <c r="E49" s="9" t="inlineStr">
        <is>
          <t>Restart không mất tác vụ đang chạy</t>
        </is>
      </c>
      <c r="F49" s="16" t="inlineStr">
        <is>
          <t>Lúc startup quét tasks trạng thái running → resume hoặc đánh dấu interrupted + báo user; test kill process giữa chừng</t>
        </is>
      </c>
      <c r="G49" s="17" t="n">
        <v>46334</v>
      </c>
      <c r="H49" s="10" t="inlineStr">
        <is>
          <t>Chưa làm</t>
        </is>
      </c>
      <c r="I49" s="9" t="inlineStr"/>
    </row>
    <row r="50">
      <c r="A50" s="10" t="inlineStr">
        <is>
          <t>S6-05</t>
        </is>
      </c>
      <c r="B50" s="10" t="inlineStr">
        <is>
          <t>S6</t>
        </is>
      </c>
      <c r="C50" s="10" t="inlineStr">
        <is>
          <t>Tuần 2</t>
        </is>
      </c>
      <c r="D50" s="9" t="inlineStr">
        <is>
          <t>Kiểm thử tiêm lỗi vào công cụ để đo khả năng phục hồi</t>
        </is>
      </c>
      <c r="E50" s="9" t="inlineStr">
        <is>
          <t>Báo cáo hành vi phục hồi theo từng dạng lỗi</t>
        </is>
      </c>
      <c r="F50" s="16" t="inlineStr">
        <is>
          <t>pytest fixture monkeypatch tool.run raise từng loại lỗi; assert hành vi đúng chiến lược; ghi docs/recovery-report.md</t>
        </is>
      </c>
      <c r="G50" s="17" t="n">
        <v>46334</v>
      </c>
      <c r="H50" s="10" t="inlineStr">
        <is>
          <t>Chưa làm</t>
        </is>
      </c>
      <c r="I50" s="9" t="inlineStr"/>
    </row>
    <row r="51">
      <c r="A51" s="15" t="inlineStr">
        <is>
          <t>Sprint 7 (09/11 - 22/11)</t>
        </is>
      </c>
      <c r="B51" s="13" t="n"/>
      <c r="C51" s="13" t="n"/>
      <c r="D51" s="13" t="n"/>
      <c r="E51" s="13" t="n"/>
      <c r="F51" s="13" t="n"/>
      <c r="G51" s="13" t="n"/>
      <c r="H51" s="13" t="n"/>
      <c r="I51" s="13" t="n"/>
    </row>
    <row r="52">
      <c r="A52" s="10" t="inlineStr">
        <is>
          <t>S7-01</t>
        </is>
      </c>
      <c r="B52" s="10" t="inlineStr">
        <is>
          <t>S7</t>
        </is>
      </c>
      <c r="C52" s="10" t="inlineStr">
        <is>
          <t>Tuần 1</t>
        </is>
      </c>
      <c r="D52" s="9" t="inlineStr">
        <is>
          <t>Khung đánh giá chạy lặp lại được (kịch bản khai báo sẵn)</t>
        </is>
      </c>
      <c r="E52" s="9" t="inlineStr">
        <is>
          <t>Chạy toàn bộ đánh giá bằng một lệnh</t>
        </is>
      </c>
      <c r="F52" s="16" t="inlineStr">
        <is>
          <t>laplace/evals/harness.py: đọc case YAML (initial_state, expected, forbidden_actions, evidence, budget); chạy bằng mock hoặc model thật; lệnh python -m laplace.evals</t>
        </is>
      </c>
      <c r="G52" s="17" t="n">
        <v>46341</v>
      </c>
      <c r="H52" s="10" t="inlineStr">
        <is>
          <t>Chưa làm</t>
        </is>
      </c>
      <c r="I52" s="9" t="inlineStr"/>
    </row>
    <row r="53">
      <c r="A53" s="10" t="inlineStr">
        <is>
          <t>S7-02</t>
        </is>
      </c>
      <c r="B53" s="10" t="inlineStr">
        <is>
          <t>S7</t>
        </is>
      </c>
      <c r="C53" s="10" t="inlineStr">
        <is>
          <t>Tuần 1</t>
        </is>
      </c>
      <c r="D53" s="9" t="inlineStr">
        <is>
          <t>Soạn bộ kịch bản kiểm thử phủ đủ nhóm tình huống</t>
        </is>
      </c>
      <c r="E53" s="9" t="inlineStr">
        <is>
          <t>Bộ kịch bản hoàn chỉnh, sẵn sàng chạy</t>
        </is>
      </c>
      <c r="F53" s="16" t="inlineStr">
        <is>
          <t>Viết ~20 file YAML trong evals/cases/: 8 thường, 4 thiếu info (phải hỏi lại), 3 lỗi tool, 3 injection, 2 nhạy cảm cần duyệt</t>
        </is>
      </c>
      <c r="G53" s="17" t="n">
        <v>46341</v>
      </c>
      <c r="H53" s="10" t="inlineStr">
        <is>
          <t>Chưa làm</t>
        </is>
      </c>
      <c r="I53" s="9" t="inlineStr"/>
    </row>
    <row r="54">
      <c r="A54" s="10" t="inlineStr">
        <is>
          <t>S7-03</t>
        </is>
      </c>
      <c r="B54" s="10" t="inlineStr">
        <is>
          <t>S7</t>
        </is>
      </c>
      <c r="C54" s="10" t="inlineStr">
        <is>
          <t>Tuần 2</t>
        </is>
      </c>
      <c r="D54" s="9" t="inlineStr">
        <is>
          <t>Trang quan sát: danh sách tác vụ, dòng thời gian, chi tiết lời gọi</t>
        </is>
      </c>
      <c r="E54" s="9" t="inlineStr">
        <is>
          <t>Tra cứu được mọi nhiệm vụ đã chạy</t>
        </is>
      </c>
      <c r="F54" s="16" t="inlineStr">
        <is>
          <t>FastAPI + Jinja2 (không cần framework FE): route /tasks, /tasks/{id} hiển thị timeline từng bước từ bảng traces; chỉ bind localhost</t>
        </is>
      </c>
      <c r="G54" s="17" t="n">
        <v>46348</v>
      </c>
      <c r="H54" s="10" t="inlineStr">
        <is>
          <t>Chưa làm</t>
        </is>
      </c>
      <c r="I54" s="9" t="inlineStr"/>
    </row>
    <row r="55">
      <c r="A55" s="10" t="inlineStr">
        <is>
          <t>S7-04</t>
        </is>
      </c>
      <c r="B55" s="10" t="inlineStr">
        <is>
          <t>S7</t>
        </is>
      </c>
      <c r="C55" s="10" t="inlineStr">
        <is>
          <t>Tuần 2</t>
        </is>
      </c>
      <c r="D55" s="9" t="inlineStr">
        <is>
          <t>Trang thống kê tổng hợp + trang kết quả đánh giá</t>
        </is>
      </c>
      <c r="E55" s="9" t="inlineStr">
        <is>
          <t>Số liệu phục vụ báo cáo lấy trực tiếp từ trang</t>
        </is>
      </c>
      <c r="F55" s="16" t="inlineStr">
        <is>
          <t>Route /stats (tỷ lệ hoàn thành, chi phí, số bước trung bình) + /evals (kết quả từng case); filter theo ngày; nút export CSV</t>
        </is>
      </c>
      <c r="G55" s="17" t="n">
        <v>46348</v>
      </c>
      <c r="H55" s="10" t="inlineStr">
        <is>
          <t>Chưa làm</t>
        </is>
      </c>
      <c r="I55" s="9" t="inlineStr"/>
    </row>
    <row r="56">
      <c r="A56" s="10" t="inlineStr">
        <is>
          <t>S7-05</t>
        </is>
      </c>
      <c r="B56" s="10" t="inlineStr">
        <is>
          <t>S7</t>
        </is>
      </c>
      <c r="C56" s="10" t="inlineStr">
        <is>
          <t>Tuần 2</t>
        </is>
      </c>
      <c r="D56" s="9" t="inlineStr">
        <is>
          <t>Chạy đánh giá lần đầu, phân tích nhóm lỗi (bàn giao sprint)</t>
        </is>
      </c>
      <c r="E56" s="9" t="inlineStr">
        <is>
          <t>Báo cáo số liệu gốc + danh sách lỗi ưu tiên</t>
        </is>
      </c>
      <c r="F56" s="16" t="inlineStr">
        <is>
          <t>Chạy harness với model thật; tổng hợp baseline vào docs/eval-baseline.md; gom lỗi theo nhóm nguyên nhân</t>
        </is>
      </c>
      <c r="G56" s="17" t="n">
        <v>46348</v>
      </c>
      <c r="H56" s="10" t="inlineStr">
        <is>
          <t>Chưa làm</t>
        </is>
      </c>
      <c r="I56" s="9" t="inlineStr"/>
    </row>
    <row r="57">
      <c r="A57" s="15" t="inlineStr">
        <is>
          <t>Sprint 8 (23/11 - 06/12)</t>
        </is>
      </c>
      <c r="B57" s="13" t="n"/>
      <c r="C57" s="13" t="n"/>
      <c r="D57" s="13" t="n"/>
      <c r="E57" s="13" t="n"/>
      <c r="F57" s="13" t="n"/>
      <c r="G57" s="13" t="n"/>
      <c r="H57" s="13" t="n"/>
      <c r="I57" s="13" t="n"/>
    </row>
    <row r="58">
      <c r="A58" s="10" t="inlineStr">
        <is>
          <t>S8-01</t>
        </is>
      </c>
      <c r="B58" s="10" t="inlineStr">
        <is>
          <t>S8</t>
        </is>
      </c>
      <c r="C58" s="10" t="inlineStr">
        <is>
          <t>Tuần 1</t>
        </is>
      </c>
      <c r="D58" s="9" t="inlineStr">
        <is>
          <t>Vòng cải tiến theo số liệu (tối thiểu 2 vòng, so sánh trước - sau)</t>
        </is>
      </c>
      <c r="E58" s="9" t="inlineStr">
        <is>
          <t>Chỉ giữ thay đổi có số liệu tốt lên</t>
        </is>
      </c>
      <c r="F58" s="16" t="inlineStr">
        <is>
          <t>Mỗi vòng: sửa 1 yếu tố (prompt / mô tả tool / ngưỡng context) → chạy lại toàn bộ harness → so sánh; ghi lại từng vòng trong docs/improvement-log.md</t>
        </is>
      </c>
      <c r="G58" s="17" t="n">
        <v>46355</v>
      </c>
      <c r="H58" s="10" t="inlineStr">
        <is>
          <t>Chưa làm</t>
        </is>
      </c>
      <c r="I58" s="9" t="inlineStr"/>
    </row>
    <row r="59">
      <c r="A59" s="10" t="inlineStr">
        <is>
          <t>S8-02</t>
        </is>
      </c>
      <c r="B59" s="10" t="inlineStr">
        <is>
          <t>S8</t>
        </is>
      </c>
      <c r="C59" s="10" t="inlineStr">
        <is>
          <t>Tuần 1</t>
        </is>
      </c>
      <c r="D59" s="9" t="inlineStr">
        <is>
          <t>Tối ưu chi phí và tốc độ phản hồi</t>
        </is>
      </c>
      <c r="E59" s="9" t="inlineStr">
        <is>
          <t>Chi phí/nhiệm vụ giảm so với số liệu gốc</t>
        </is>
      </c>
      <c r="F59" s="16" t="inlineStr">
        <is>
          <t>Rút gọn context (đo token từng tầng), cache kết quả search, bỏ lời gọi LLM thừa trong loop; so số liệu llm_calls trước/sau</t>
        </is>
      </c>
      <c r="G59" s="17" t="n">
        <v>46355</v>
      </c>
      <c r="H59" s="10" t="inlineStr">
        <is>
          <t>Chưa làm</t>
        </is>
      </c>
      <c r="I59" s="9" t="inlineStr"/>
    </row>
    <row r="60">
      <c r="A60" s="10" t="inlineStr">
        <is>
          <t>S8-03</t>
        </is>
      </c>
      <c r="B60" s="10" t="inlineStr">
        <is>
          <t>S8</t>
        </is>
      </c>
      <c r="C60" s="10" t="inlineStr">
        <is>
          <t>Tuần 1</t>
        </is>
      </c>
      <c r="D60" s="9" t="inlineStr">
        <is>
          <t>Kiểm thử tổng thể mọi luồng + bổ sung kiểm thử còn thiếu</t>
        </is>
      </c>
      <c r="E60" s="9" t="inlineStr">
        <is>
          <t>Không còn luồng chính nào thiếu kiểm thử</t>
        </is>
      </c>
      <c r="F60" s="16" t="inlineStr">
        <is>
          <t>pytest --cov đo độ phủ agent/ tools/ bot/; bổ sung test luồng chính còn hở; sửa flaky test</t>
        </is>
      </c>
      <c r="G60" s="17" t="n">
        <v>46355</v>
      </c>
      <c r="H60" s="10" t="inlineStr">
        <is>
          <t>Chưa làm</t>
        </is>
      </c>
      <c r="I60" s="9" t="inlineStr"/>
    </row>
    <row r="61">
      <c r="A61" s="10" t="inlineStr">
        <is>
          <t>S8-04</t>
        </is>
      </c>
      <c r="B61" s="10" t="inlineStr">
        <is>
          <t>S8</t>
        </is>
      </c>
      <c r="C61" s="10" t="inlineStr">
        <is>
          <t>Tuần 2</t>
        </is>
      </c>
      <c r="D61" s="9" t="inlineStr">
        <is>
          <t>Đóng gói Docker + hướng dẫn cài đặt + thử trên máy sạch</t>
        </is>
      </c>
      <c r="E61" s="9" t="inlineStr">
        <is>
          <t>Người ngoài cài lại được từ đầu</t>
        </is>
      </c>
      <c r="F61" s="16" t="inlineStr">
        <is>
          <t>Dockerfile (python-slim, multi-stage) + docker-compose.yml (volume cho SQLite + .env); test cài từ đầu trên máy sạch/VM theo đúng README</t>
        </is>
      </c>
      <c r="G61" s="17" t="n">
        <v>46362</v>
      </c>
      <c r="H61" s="10" t="inlineStr">
        <is>
          <t>Chưa làm</t>
        </is>
      </c>
      <c r="I61" s="9" t="inlineStr"/>
    </row>
    <row r="62">
      <c r="A62" s="10" t="inlineStr">
        <is>
          <t>S8-05</t>
        </is>
      </c>
      <c r="B62" s="10" t="inlineStr">
        <is>
          <t>S8</t>
        </is>
      </c>
      <c r="C62" s="10" t="inlineStr">
        <is>
          <t>Tuần 2</t>
        </is>
      </c>
      <c r="D62" s="9" t="inlineStr">
        <is>
          <t>Hoàn thiện bộ tài liệu (kiến trúc, hướng dẫn, giới hạn đã biết)</t>
        </is>
      </c>
      <c r="E62" s="9" t="inlineStr">
        <is>
          <t>Bộ tài liệu đủ để nộp</t>
        </is>
      </c>
      <c r="F62" s="16" t="inlineStr">
        <is>
          <t>Rà soát docs/: architecture.md, huong-dan.md, known-limitations.md; cập nhật khớp code cuối</t>
        </is>
      </c>
      <c r="G62" s="17" t="n">
        <v>46362</v>
      </c>
      <c r="H62" s="10" t="inlineStr">
        <is>
          <t>Chưa làm</t>
        </is>
      </c>
      <c r="I62" s="9" t="inlineStr"/>
    </row>
    <row r="63">
      <c r="A63" s="10" t="inlineStr">
        <is>
          <t>S8-06</t>
        </is>
      </c>
      <c r="B63" s="10" t="inlineStr">
        <is>
          <t>S8</t>
        </is>
      </c>
      <c r="C63" s="10" t="inlineStr">
        <is>
          <t>Tuần 2</t>
        </is>
      </c>
      <c r="D63" s="9" t="inlineStr">
        <is>
          <t>Chạy lại toàn bộ đánh giá trên bản đóng gói + báo cáo so sánh</t>
        </is>
      </c>
      <c r="E63" s="9" t="inlineStr">
        <is>
          <t>Bằng chứng chất lượng bản cuối</t>
        </is>
      </c>
      <c r="F63" s="16" t="inlineStr">
        <is>
          <t>Chạy harness trong container Docker; lập bảng so sánh baseline vs final (tỷ lệ hoàn thành, chi phí, số bước) trong docs/eval-final.md</t>
        </is>
      </c>
      <c r="G63" s="17" t="n">
        <v>46362</v>
      </c>
      <c r="H63" s="10" t="inlineStr">
        <is>
          <t>Chưa làm</t>
        </is>
      </c>
      <c r="I63" s="9" t="inlineStr"/>
    </row>
    <row r="64">
      <c r="A64" s="10" t="inlineStr">
        <is>
          <t>S8-07</t>
        </is>
      </c>
      <c r="B64" s="10" t="inlineStr">
        <is>
          <t>S8</t>
        </is>
      </c>
      <c r="C64" s="10" t="inlineStr">
        <is>
          <t>Tuần 2</t>
        </is>
      </c>
      <c r="D64" s="9" t="inlineStr">
        <is>
          <t>Báo cáo cuối kỳ + slide + kịch bản demo + video dự phòng (bàn giao)</t>
        </is>
      </c>
      <c r="E64" s="9" t="inlineStr">
        <is>
          <t>Sẵn sàng nộp và trình bày</t>
        </is>
      </c>
      <c r="F64" s="16" t="inlineStr">
        <is>
          <t>Báo cáo Word/LaTeX theo template khoa; slide trình bày; kịch bản demo từng bước + video quay sẵn phòng sự cố mạng</t>
        </is>
      </c>
      <c r="G64" s="17" t="n">
        <v>46362</v>
      </c>
      <c r="H64" s="10" t="inlineStr">
        <is>
          <t>Chưa làm</t>
        </is>
      </c>
      <c r="I64" s="9" t="inlineStr"/>
    </row>
    <row r="65">
      <c r="A65" s="15" t="inlineStr">
        <is>
          <t>Sprint 9 (dự phòng) (07/12 - 20/12)</t>
        </is>
      </c>
      <c r="B65" s="13" t="n"/>
      <c r="C65" s="13" t="n"/>
      <c r="D65" s="13" t="n"/>
      <c r="E65" s="13" t="n"/>
      <c r="F65" s="13" t="n"/>
      <c r="G65" s="13" t="n"/>
      <c r="H65" s="13" t="n"/>
      <c r="I65" s="13" t="n"/>
    </row>
    <row r="66">
      <c r="A66" s="10" t="inlineStr">
        <is>
          <t>S9-01</t>
        </is>
      </c>
      <c r="B66" s="10" t="inlineStr">
        <is>
          <t>S9</t>
        </is>
      </c>
      <c r="C66" s="10" t="inlineStr">
        <is>
          <t>Dự phòng</t>
        </is>
      </c>
      <c r="D66" s="9" t="inlineStr">
        <is>
          <t>Xử lý hạng mục tồn đọng, sửa lỗi khi chạy thử kéo dài</t>
        </is>
      </c>
      <c r="E66" s="9" t="inlineStr">
        <is>
          <t>Không còn lỗi chặn demo</t>
        </is>
      </c>
      <c r="F66" s="16" t="inlineStr">
        <is>
          <t>Chạy bot liên tục vài ngày, gom lỗi thực tế; fix theo độ ưu tiên</t>
        </is>
      </c>
      <c r="G66" s="17" t="n">
        <v>46376</v>
      </c>
      <c r="H66" s="10" t="inlineStr">
        <is>
          <t>Chưa làm</t>
        </is>
      </c>
      <c r="I66" s="9" t="inlineStr"/>
    </row>
    <row r="67">
      <c r="A67" s="10" t="inlineStr">
        <is>
          <t>S9-02</t>
        </is>
      </c>
      <c r="B67" s="10" t="inlineStr">
        <is>
          <t>S9</t>
        </is>
      </c>
      <c r="C67" s="10" t="inlineStr">
        <is>
          <t>Dự phòng</t>
        </is>
      </c>
      <c r="D67" s="9" t="inlineStr">
        <is>
          <t>Chuẩn bị trả lời phản biện + tổng duyệt demo</t>
        </is>
      </c>
      <c r="E67" s="9" t="inlineStr">
        <is>
          <t>Bộ câu hỏi phản biện dự kiến kèm trả lời</t>
        </is>
      </c>
      <c r="F67" s="16" t="inlineStr">
        <is>
          <t>Soạn docs/QA-phan-bien.md (vì sao chọn kiến trúc X, chi phí, an toàn, so với chatbot...); tổng duyệt demo 2 lần</t>
        </is>
      </c>
      <c r="G67" s="17" t="n">
        <v>46376</v>
      </c>
      <c r="H67" s="10" t="inlineStr">
        <is>
          <t>Chưa làm</t>
        </is>
      </c>
      <c r="I67" s="9" t="inlineStr"/>
    </row>
    <row r="68">
      <c r="A68" s="10" t="inlineStr">
        <is>
          <t>S9-03</t>
        </is>
      </c>
      <c r="B68" s="10" t="inlineStr">
        <is>
          <t>S9</t>
        </is>
      </c>
      <c r="C68" s="10" t="inlineStr">
        <is>
          <t>Dự phòng</t>
        </is>
      </c>
      <c r="D68" s="9" t="inlineStr">
        <is>
          <t>(Nếu kịp) Calendar Integration - tạo sự kiện lịch qua API bên ngoài</t>
        </is>
      </c>
      <c r="E68" s="9" t="inlineStr">
        <is>
          <t>Hạng mục mở rộng, không bắt buộc</t>
        </is>
      </c>
      <c r="F68" s="16" t="inlineStr">
        <is>
          <t>Bật Calendar API trên Google Cloud Console; cài google-api-python-client + google-auth-oauthlib (OAuth2 lưu token.json); laplace/tools/calendar_create.py (risk EXTERNAL_SEND → qua Approval Gate); chỉ làm khi mọi hạng mục bắt buộc đã xong</t>
        </is>
      </c>
      <c r="G68" s="17" t="n">
        <v>46376</v>
      </c>
      <c r="H68" s="10" t="inlineStr">
        <is>
          <t>Chưa làm</t>
        </is>
      </c>
      <c r="I68" s="9" t="inlineStr"/>
    </row>
  </sheetData>
  <autoFilter ref="A1:I68"/>
  <mergeCells count="9">
    <mergeCell ref="A65:I65"/>
    <mergeCell ref="A57:I57"/>
    <mergeCell ref="A2:I2"/>
    <mergeCell ref="A51:I51"/>
    <mergeCell ref="A37:I37"/>
    <mergeCell ref="A14:I14"/>
    <mergeCell ref="A45:I45"/>
    <mergeCell ref="A23:I23"/>
    <mergeCell ref="A30:I30"/>
  </mergeCells>
  <dataValidations count="1">
    <dataValidation sqref="H2:H68" showDropDown="0" showInputMessage="0" showErrorMessage="0" allowBlank="1" type="list">
      <formula1>"Chưa làm,Đang làm,Hoàn thành,Bỏ"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2026-08-15T13:15:34Z</dcterms:created>
  <dcterms:modified xmlns:dcterms="http://purl.org/dc/terms/" xmlns:xsi="http://www.w3.org/2001/XMLSchema-instance" xsi:type="dcterms:W3CDTF">2026-08-15T13:15:34Z</dcterms:modified>
</cp:coreProperties>
</file>